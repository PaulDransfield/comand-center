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Cost Analysis" sheetId="3" state="visible" r:id="rId3"/>
    <sheet xmlns:r="http://schemas.openxmlformats.org/officeDocument/2006/relationships" name="Monthly Trend" sheetId="4" state="visible" r:id="rId4"/>
    <sheet xmlns:r="http://schemas.openxmlformats.org/officeDocument/2006/relationships"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kr&quot;"/>
    <numFmt numFmtId="165" formatCode="0.0%"/>
  </numFmts>
  <fonts count="18">
    <font>
      <name val="Calibri"/>
      <family val="2"/>
      <color theme="1"/>
      <sz val="11"/>
      <scheme val="minor"/>
    </font>
    <font>
      <name val="Arial"/>
      <b val="1"/>
      <color rgb="001E2761"/>
      <sz val="16"/>
    </font>
    <font>
      <name val="Arial"/>
      <color rgb="009B9690"/>
      <sz val="9"/>
    </font>
    <font>
      <name val="Arial"/>
      <b val="1"/>
      <color rgb="009B9690"/>
      <sz val="9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1E2761"/>
      <sz val="13"/>
    </font>
    <font>
      <name val="Arial"/>
      <b val="1"/>
      <color rgb="00FFFFFF"/>
      <sz val="11"/>
    </font>
    <font>
      <name val="Arial"/>
      <b val="1"/>
      <color rgb="001E2761"/>
      <sz val="10"/>
    </font>
    <font>
      <name val="Arial"/>
      <color rgb="00000000"/>
      <sz val="10"/>
    </font>
    <font>
      <name val="Arial"/>
      <color rgb="002D6A35"/>
      <sz val="10"/>
    </font>
    <font>
      <name val="Arial"/>
      <color rgb="00A32D2D"/>
      <sz val="10"/>
    </font>
    <font>
      <name val="Arial"/>
      <b val="1"/>
      <color rgb="00000000"/>
      <sz val="10"/>
    </font>
    <font>
      <name val="Arial"/>
      <b val="1"/>
      <color rgb="002D6A35"/>
      <sz val="10"/>
    </font>
    <font>
      <name val="Arial"/>
      <b val="1"/>
      <color rgb="00A32D2D"/>
      <sz val="10"/>
    </font>
    <font>
      <name val="Arial"/>
      <b val="1"/>
      <color rgb="001E2761"/>
      <sz val="11"/>
    </font>
    <font>
      <name val="Arial"/>
      <b val="1"/>
      <color rgb="00FFFFFF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2D6A35"/>
      </patternFill>
    </fill>
    <fill>
      <patternFill patternType="solid">
        <fgColor rgb="00185FA5"/>
      </patternFill>
    </fill>
    <fill>
      <patternFill patternType="solid">
        <fgColor rgb="00A32D2D"/>
      </patternFill>
    </fill>
    <fill>
      <patternFill patternType="solid">
        <fgColor rgb="002D5A27"/>
      </patternFill>
    </fill>
    <fill>
      <patternFill patternType="solid">
        <fgColor rgb="00F2F4F8"/>
      </patternFill>
    </fill>
    <fill>
      <patternFill patternType="solid">
        <fgColor rgb="00FFFFFF"/>
      </patternFill>
    </fill>
    <fill>
      <patternFill patternType="solid">
        <fgColor rgb="00EAF2E8"/>
      </patternFill>
    </fill>
    <fill>
      <patternFill patternType="solid">
        <fgColor rgb="00D8DDE8"/>
      </patternFill>
    </fill>
  </fills>
  <borders count="2">
    <border>
      <left/>
      <right/>
      <top/>
      <bottom/>
      <diagonal/>
    </border>
    <border>
      <left style="thin">
        <color rgb="00C8C3BB"/>
      </left>
      <right style="thin">
        <color rgb="00C8C3BB"/>
      </right>
      <top style="thin">
        <color rgb="00C8C3BB"/>
      </top>
      <bottom style="thin">
        <color rgb="00C8C3BB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0" fillId="0" borderId="1" applyAlignment="1" pivotButton="0" quotePrefix="0" xfId="0">
      <alignment horizontal="right"/>
    </xf>
    <xf numFmtId="0" fontId="9" fillId="0" borderId="1" applyAlignment="1" pivotButton="0" quotePrefix="0" xfId="0">
      <alignment horizontal="left" vertical="center"/>
    </xf>
    <xf numFmtId="164" fontId="10" fillId="0" borderId="1" applyAlignment="1" pivotButton="0" quotePrefix="0" xfId="0">
      <alignment horizontal="right" vertical="center"/>
    </xf>
    <xf numFmtId="164" fontId="10" fillId="7" borderId="1" applyAlignment="1" pivotButton="0" quotePrefix="0" xfId="0">
      <alignment horizontal="right" vertical="center"/>
    </xf>
    <xf numFmtId="0" fontId="0" fillId="8" borderId="1" pivotButton="0" quotePrefix="0" xfId="0"/>
    <xf numFmtId="165" fontId="11" fillId="0" borderId="1" applyAlignment="1" pivotButton="0" quotePrefix="0" xfId="0">
      <alignment horizontal="right" vertical="center"/>
    </xf>
    <xf numFmtId="165" fontId="11" fillId="7" borderId="1" applyAlignment="1" pivotButton="0" quotePrefix="0" xfId="0">
      <alignment horizontal="right" vertical="center"/>
    </xf>
    <xf numFmtId="165" fontId="10" fillId="9" borderId="1" applyAlignment="1" pivotButton="0" quotePrefix="0" xfId="0">
      <alignment horizontal="right"/>
    </xf>
    <xf numFmtId="165" fontId="10" fillId="0" borderId="1" applyAlignment="1" pivotButton="0" quotePrefix="0" xfId="0">
      <alignment horizontal="right" vertical="center"/>
    </xf>
    <xf numFmtId="165" fontId="10" fillId="7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center"/>
    </xf>
    <xf numFmtId="164" fontId="13" fillId="0" borderId="1" applyAlignment="1" pivotButton="0" quotePrefix="0" xfId="0">
      <alignment horizontal="right" vertical="center"/>
    </xf>
    <xf numFmtId="164" fontId="13" fillId="7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165" fontId="13" fillId="7" borderId="1" applyAlignment="1" pivotButton="0" quotePrefix="0" xfId="0">
      <alignment horizontal="right" vertical="center"/>
    </xf>
    <xf numFmtId="165" fontId="13" fillId="9" borderId="1" applyAlignment="1" pivotButton="0" quotePrefix="0" xfId="0">
      <alignment horizontal="right"/>
    </xf>
    <xf numFmtId="0" fontId="7" fillId="2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right" vertical="center"/>
    </xf>
    <xf numFmtId="10" fontId="9" fillId="8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right" vertical="center"/>
    </xf>
    <xf numFmtId="10" fontId="9" fillId="7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164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left" vertical="center"/>
    </xf>
    <xf numFmtId="10" fontId="12" fillId="7" borderId="1" applyAlignment="1" pivotButton="0" quotePrefix="0" xfId="0">
      <alignment horizontal="right" vertical="center"/>
    </xf>
    <xf numFmtId="164" fontId="12" fillId="8" borderId="1" applyAlignment="1" pivotButton="0" quotePrefix="0" xfId="0">
      <alignment horizontal="right" vertical="center"/>
    </xf>
    <xf numFmtId="164" fontId="13" fillId="8" borderId="1" applyAlignment="1" pivotButton="0" quotePrefix="0" xfId="0">
      <alignment horizontal="right" vertical="center"/>
    </xf>
    <xf numFmtId="165" fontId="9" fillId="8" borderId="1" applyAlignment="1" pivotButton="0" quotePrefix="0" xfId="0">
      <alignment horizontal="right" vertical="center"/>
    </xf>
    <xf numFmtId="165" fontId="9" fillId="7" borderId="1" applyAlignment="1" pivotButton="0" quotePrefix="0" xfId="0">
      <alignment horizontal="right" vertical="center"/>
    </xf>
    <xf numFmtId="0" fontId="8" fillId="0" borderId="0" pivotButton="0" quotePrefix="0" xfId="0"/>
    <xf numFmtId="164" fontId="8" fillId="10" borderId="1" applyAlignment="1" pivotButton="0" quotePrefix="0" xfId="0">
      <alignment horizontal="right"/>
    </xf>
    <xf numFmtId="165" fontId="8" fillId="10" borderId="1" applyAlignment="1" pivotButton="0" quotePrefix="0" xfId="0">
      <alignment horizontal="right"/>
    </xf>
    <xf numFmtId="0" fontId="15" fillId="0" borderId="0" pivotButton="0" quotePrefix="0" xfId="0"/>
    <xf numFmtId="0" fontId="16" fillId="2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/>
    </xf>
    <xf numFmtId="3" fontId="17" fillId="0" borderId="0" applyAlignment="1" pivotButton="0" quotePrefix="0" xfId="0">
      <alignment horizontal="right"/>
    </xf>
    <xf numFmtId="165" fontId="17" fillId="0" borderId="0" applyAlignment="1" pivotButton="0" quotePrefix="0" xfId="0">
      <alignment horizontal="right"/>
    </xf>
    <xf numFmtId="0" fontId="17" fillId="7" borderId="0" applyAlignment="1" pivotButton="0" quotePrefix="0" xfId="0">
      <alignment horizontal="left"/>
    </xf>
    <xf numFmtId="3" fontId="17" fillId="7" borderId="0" applyAlignment="1" pivotButton="0" quotePrefix="0" xfId="0">
      <alignment horizontal="right"/>
    </xf>
    <xf numFmtId="165" fontId="17" fillId="7" borderId="0" applyAlignment="1" pivotButton="0" quotePrefix="0" xfId="0">
      <alignment horizontal="right"/>
    </xf>
  </cellXfs>
  <cellStyles count="1">
    <cellStyle name="Normal" xfId="0" builtinId="0" hidden="0"/>
  </cellStyles>
  <dxfs count="1">
    <dxf>
      <font>
        <color rgb="00A32D2D"/>
      </font>
      <fill>
        <patternFill>
          <b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'Cost Analysis'!C2</f>
            </strRef>
          </tx>
          <spPr>
            <a:solidFill xmlns:a="http://schemas.openxmlformats.org/drawingml/2006/main">
              <a:srgbClr val="1E2761"/>
            </a:solidFill>
            <a:ln xmlns:a="http://schemas.openxmlformats.org/drawingml/2006/main">
              <a:prstDash val="solid"/>
            </a:ln>
          </spPr>
          <cat>
            <numRef>
              <f>'Cost Analysis'!$A$3:$A$12</f>
            </numRef>
          </cat>
          <val>
            <numRef>
              <f>'Cost Analysis'!$C$3:$C$12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Supplier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(kr)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Profit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Trend'!B2</f>
            </strRef>
          </tx>
          <spPr>
            <a:ln xmlns:a="http://schemas.openxmlformats.org/drawingml/2006/main" w="20000">
              <a:solidFill>
                <a:srgbClr val="1E276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Trend'!$A$3:$A$8</f>
            </numRef>
          </cat>
          <val>
            <numRef>
              <f>'Monthly Trend'!$B$3:$B$8</f>
            </numRef>
          </val>
        </ser>
        <ser>
          <idx val="1"/>
          <order val="1"/>
          <tx>
            <strRef>
              <f>'Monthly Trend'!H2</f>
            </strRef>
          </tx>
          <spPr>
            <a:ln xmlns:a="http://schemas.openxmlformats.org/drawingml/2006/main" w="20000">
              <a:solidFill>
                <a:srgbClr val="2D6A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Trend'!$A$3:$A$8</f>
            </numRef>
          </cat>
          <val>
            <numRef>
              <f>'Monthly Trend'!$H$3:$H$8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(kr)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2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" customWidth="1" min="8" max="8"/>
  </cols>
  <sheetData>
    <row r="1" ht="10" customHeight="1"/>
    <row r="2" ht="32" customHeight="1">
      <c r="B2" s="1" t="inlineStr">
        <is>
          <t>Restaurang Björken AB  ·  Financial Dashboard  ·  March 2026</t>
        </is>
      </c>
    </row>
    <row r="3" ht="18" customHeight="1">
      <c r="B3" s="2" t="inlineStr">
        <is>
          <t>Organisation 559059-3025  ·  Generated 2026-03-24</t>
        </is>
      </c>
    </row>
    <row r="5" ht="14" customHeight="1">
      <c r="B5" s="3" t="inlineStr">
        <is>
          <t>KEY PERFORMANCE INDICATORS — MARCH 2026</t>
        </is>
      </c>
    </row>
    <row r="6">
      <c r="B6" s="4" t="inlineStr">
        <is>
          <t>Revenue
505,900 kr</t>
        </is>
      </c>
      <c r="C6" s="5" t="n"/>
      <c r="D6" s="6" t="inlineStr">
        <is>
          <t>Net Profit
38,700 kr</t>
        </is>
      </c>
      <c r="E6" s="7" t="n"/>
      <c r="F6" s="8" t="inlineStr">
        <is>
          <t>Margin
8 %</t>
        </is>
      </c>
      <c r="G6" s="9" t="n"/>
    </row>
    <row r="7">
      <c r="B7" s="5" t="n"/>
      <c r="C7" s="5" t="n"/>
      <c r="D7" s="7" t="n"/>
      <c r="E7" s="7" t="n"/>
      <c r="F7" s="9" t="n"/>
      <c r="G7" s="9" t="n"/>
    </row>
    <row r="8">
      <c r="B8" s="5" t="n"/>
      <c r="C8" s="5" t="n"/>
      <c r="D8" s="7" t="n"/>
      <c r="E8" s="7" t="n"/>
      <c r="F8" s="9" t="n"/>
      <c r="G8" s="9" t="n"/>
    </row>
    <row r="9">
      <c r="B9" s="5" t="n"/>
      <c r="C9" s="5" t="n"/>
      <c r="D9" s="7" t="n"/>
      <c r="E9" s="7" t="n"/>
      <c r="F9" s="9" t="n"/>
      <c r="G9" s="9" t="n"/>
    </row>
    <row r="11">
      <c r="B11" s="10" t="inlineStr">
        <is>
          <t>Staff Cost%
44 %
Target 40%</t>
        </is>
      </c>
      <c r="C11" s="11" t="n"/>
      <c r="D11" s="12" t="inlineStr">
        <is>
          <t>Food Cost%
30 %
Target 31%</t>
        </is>
      </c>
      <c r="E11" s="7" t="n"/>
      <c r="F11" s="13" t="inlineStr">
        <is>
          <t>Rev Growth
10 %
vs Feb 2026</t>
        </is>
      </c>
      <c r="G11" s="5" t="n"/>
    </row>
    <row r="12">
      <c r="B12" s="11" t="n"/>
      <c r="C12" s="11" t="n"/>
      <c r="D12" s="7" t="n"/>
      <c r="E12" s="7" t="n"/>
      <c r="F12" s="5" t="n"/>
      <c r="G12" s="5" t="n"/>
    </row>
    <row r="13">
      <c r="B13" s="11" t="n"/>
      <c r="C13" s="11" t="n"/>
      <c r="D13" s="7" t="n"/>
      <c r="E13" s="7" t="n"/>
      <c r="F13" s="5" t="n"/>
      <c r="G13" s="5" t="n"/>
    </row>
    <row r="14">
      <c r="B14" s="11" t="n"/>
      <c r="C14" s="11" t="n"/>
      <c r="D14" s="7" t="n"/>
      <c r="E14" s="7" t="n"/>
      <c r="F14" s="5" t="n"/>
      <c r="G14" s="5" t="n"/>
    </row>
  </sheetData>
  <mergeCells count="8">
    <mergeCell ref="D6:E9"/>
    <mergeCell ref="B6:C9"/>
    <mergeCell ref="F11:G14"/>
    <mergeCell ref="F6:G9"/>
    <mergeCell ref="B11:C14"/>
    <mergeCell ref="B2:H2"/>
    <mergeCell ref="D11:E14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</cols>
  <sheetData>
    <row r="1" ht="26" customHeight="1">
      <c r="A1" s="14" t="inlineStr">
        <is>
          <t>Profit &amp; Loss Statement  ·  Restaurang Björken AB</t>
        </is>
      </c>
    </row>
    <row r="2" ht="18" customHeight="1">
      <c r="A2" s="15" t="inlineStr">
        <is>
          <t>Category</t>
        </is>
      </c>
      <c r="B2" s="16" t="inlineStr">
        <is>
          <t>Oct 2025</t>
        </is>
      </c>
      <c r="C2" s="16" t="inlineStr">
        <is>
          <t>Nov 2025</t>
        </is>
      </c>
      <c r="D2" s="16" t="inlineStr">
        <is>
          <t>Dec 2025</t>
        </is>
      </c>
      <c r="E2" s="16" t="inlineStr">
        <is>
          <t>Jan 2026</t>
        </is>
      </c>
      <c r="F2" s="16" t="inlineStr">
        <is>
          <t>Feb 2026</t>
        </is>
      </c>
      <c r="G2" s="16" t="inlineStr">
        <is>
          <t>Mar 2026</t>
        </is>
      </c>
      <c r="H2" s="17" t="inlineStr">
        <is>
          <t>Target</t>
        </is>
      </c>
    </row>
    <row r="3">
      <c r="A3" s="18" t="inlineStr">
        <is>
          <t>REVENUE</t>
        </is>
      </c>
      <c r="B3" s="19" t="inlineStr"/>
      <c r="C3" s="19" t="inlineStr"/>
      <c r="D3" s="19" t="inlineStr"/>
      <c r="E3" s="19" t="inlineStr"/>
      <c r="F3" s="19" t="inlineStr"/>
      <c r="G3" s="19" t="inlineStr"/>
      <c r="H3" s="20" t="n"/>
    </row>
    <row r="4">
      <c r="A4" s="21" t="inlineStr">
        <is>
          <t>Revenue</t>
        </is>
      </c>
      <c r="B4" s="22" t="n">
        <v>412800</v>
      </c>
      <c r="C4" s="22" t="n">
        <v>438600</v>
      </c>
      <c r="D4" s="22" t="n">
        <v>521400</v>
      </c>
      <c r="E4" s="22" t="n">
        <v>389200</v>
      </c>
      <c r="F4" s="22" t="n">
        <v>461800</v>
      </c>
      <c r="G4" s="23" t="n">
        <v>505900</v>
      </c>
      <c r="H4" s="20" t="n"/>
    </row>
    <row r="5">
      <c r="A5" s="21" t="inlineStr"/>
      <c r="B5" s="24" t="inlineStr"/>
      <c r="C5" s="24" t="inlineStr"/>
      <c r="D5" s="24" t="inlineStr"/>
      <c r="E5" s="24" t="inlineStr"/>
      <c r="F5" s="24" t="inlineStr"/>
      <c r="G5" s="24" t="inlineStr"/>
      <c r="H5" s="20" t="n"/>
    </row>
    <row r="6">
      <c r="A6" s="18" t="inlineStr">
        <is>
          <t>COSTS</t>
        </is>
      </c>
      <c r="B6" s="19" t="inlineStr"/>
      <c r="C6" s="19" t="inlineStr"/>
      <c r="D6" s="19" t="inlineStr"/>
      <c r="E6" s="19" t="inlineStr"/>
      <c r="F6" s="19" t="inlineStr"/>
      <c r="G6" s="19" t="inlineStr"/>
      <c r="H6" s="20" t="n"/>
    </row>
    <row r="7">
      <c r="A7" s="21" t="inlineStr">
        <is>
          <t>Staff costs</t>
        </is>
      </c>
      <c r="B7" s="22" t="n">
        <v>180432</v>
      </c>
      <c r="C7" s="22" t="n">
        <v>191268</v>
      </c>
      <c r="D7" s="22" t="n">
        <v>222480</v>
      </c>
      <c r="E7" s="22" t="n">
        <v>175140</v>
      </c>
      <c r="F7" s="22" t="n">
        <v>199536</v>
      </c>
      <c r="G7" s="23" t="n">
        <v>224978</v>
      </c>
      <c r="H7" s="20" t="n"/>
    </row>
    <row r="8">
      <c r="A8" s="21" t="inlineStr">
        <is>
          <t xml:space="preserve">  % of revenue</t>
        </is>
      </c>
      <c r="B8" s="25" t="n">
        <v>0.437093023255814</v>
      </c>
      <c r="C8" s="25" t="n">
        <v>0.4360875512995896</v>
      </c>
      <c r="D8" s="25" t="n">
        <v>0.4266973532796318</v>
      </c>
      <c r="E8" s="25" t="n">
        <v>0.45</v>
      </c>
      <c r="F8" s="25" t="n">
        <v>0.4320831528800346</v>
      </c>
      <c r="G8" s="26" t="n">
        <v>0.4447084404032418</v>
      </c>
      <c r="H8" s="27" t="n">
        <v>0.4</v>
      </c>
    </row>
    <row r="9">
      <c r="A9" s="21" t="inlineStr">
        <is>
          <t>Food &amp; beverage</t>
        </is>
      </c>
      <c r="B9" s="22" t="n">
        <v>123840</v>
      </c>
      <c r="C9" s="22" t="n">
        <v>126630</v>
      </c>
      <c r="D9" s="22" t="n">
        <v>153750</v>
      </c>
      <c r="E9" s="22" t="n">
        <v>120600</v>
      </c>
      <c r="F9" s="22" t="n">
        <v>140850</v>
      </c>
      <c r="G9" s="23" t="n">
        <v>149300</v>
      </c>
      <c r="H9" s="20" t="n"/>
    </row>
    <row r="10">
      <c r="A10" s="21" t="inlineStr">
        <is>
          <t xml:space="preserve">  % of revenue</t>
        </is>
      </c>
      <c r="B10" s="28" t="n">
        <v>0.3</v>
      </c>
      <c r="C10" s="28" t="n">
        <v>0.2887140902872777</v>
      </c>
      <c r="D10" s="28" t="n">
        <v>0.2948791714614499</v>
      </c>
      <c r="E10" s="28" t="n">
        <v>0.3098663926002055</v>
      </c>
      <c r="F10" s="28" t="n">
        <v>0.3050021654395842</v>
      </c>
      <c r="G10" s="29" t="n">
        <v>0.2951176121763194</v>
      </c>
      <c r="H10" s="27" t="n">
        <v>0.31</v>
      </c>
    </row>
    <row r="11">
      <c r="A11" s="21" t="inlineStr">
        <is>
          <t>Rent</t>
        </is>
      </c>
      <c r="B11" s="22" t="n">
        <v>54000</v>
      </c>
      <c r="C11" s="22" t="n">
        <v>57500</v>
      </c>
      <c r="D11" s="22" t="n">
        <v>57500</v>
      </c>
      <c r="E11" s="22" t="n">
        <v>61000</v>
      </c>
      <c r="F11" s="22" t="n">
        <v>61000</v>
      </c>
      <c r="G11" s="23" t="n">
        <v>64500</v>
      </c>
      <c r="H11" s="20" t="n"/>
    </row>
    <row r="12">
      <c r="A12" s="21" t="inlineStr">
        <is>
          <t xml:space="preserve">  % of revenue</t>
        </is>
      </c>
      <c r="B12" s="28" t="n">
        <v>0.1308139534883721</v>
      </c>
      <c r="C12" s="28" t="n">
        <v>0.1310989512083903</v>
      </c>
      <c r="D12" s="28" t="n">
        <v>0.1102800153433065</v>
      </c>
      <c r="E12" s="28" t="n">
        <v>0.1567317574511819</v>
      </c>
      <c r="F12" s="28" t="n">
        <v>0.1320918146383716</v>
      </c>
      <c r="G12" s="29" t="n">
        <v>0.1274955524807274</v>
      </c>
      <c r="H12" s="27" t="n">
        <v>0.13</v>
      </c>
    </row>
    <row r="13">
      <c r="A13" s="21" t="inlineStr">
        <is>
          <t>Other costs</t>
        </is>
      </c>
      <c r="B13" s="22" t="n">
        <v>20640</v>
      </c>
      <c r="C13" s="22" t="n">
        <v>21930</v>
      </c>
      <c r="D13" s="22" t="n">
        <v>26070</v>
      </c>
      <c r="E13" s="22" t="n">
        <v>19460</v>
      </c>
      <c r="F13" s="22" t="n">
        <v>23090</v>
      </c>
      <c r="G13" s="23" t="n">
        <v>28422</v>
      </c>
      <c r="H13" s="20" t="n"/>
    </row>
    <row r="14">
      <c r="A14" s="30" t="inlineStr">
        <is>
          <t>Total costs</t>
        </is>
      </c>
      <c r="B14" s="31" t="n">
        <v>378912</v>
      </c>
      <c r="C14" s="31" t="n">
        <v>397328</v>
      </c>
      <c r="D14" s="31" t="n">
        <v>459800</v>
      </c>
      <c r="E14" s="31" t="n">
        <v>376200</v>
      </c>
      <c r="F14" s="31" t="n">
        <v>424476</v>
      </c>
      <c r="G14" s="32" t="n">
        <v>467200</v>
      </c>
      <c r="H14" s="20" t="n"/>
    </row>
    <row r="15">
      <c r="A15" s="21" t="inlineStr"/>
      <c r="B15" s="24" t="inlineStr"/>
      <c r="C15" s="24" t="inlineStr"/>
      <c r="D15" s="24" t="inlineStr"/>
      <c r="E15" s="24" t="inlineStr"/>
      <c r="F15" s="24" t="inlineStr"/>
      <c r="G15" s="24" t="inlineStr"/>
      <c r="H15" s="20" t="n"/>
    </row>
    <row r="16">
      <c r="A16" s="18" t="inlineStr">
        <is>
          <t>NET PROFIT</t>
        </is>
      </c>
      <c r="B16" s="19" t="inlineStr"/>
      <c r="C16" s="19" t="inlineStr"/>
      <c r="D16" s="19" t="inlineStr"/>
      <c r="E16" s="19" t="inlineStr"/>
      <c r="F16" s="19" t="inlineStr"/>
      <c r="G16" s="19" t="inlineStr"/>
      <c r="H16" s="20" t="n"/>
    </row>
    <row r="17">
      <c r="A17" s="30" t="inlineStr">
        <is>
          <t>Net profit</t>
        </is>
      </c>
      <c r="B17" s="31" t="n">
        <v>33888</v>
      </c>
      <c r="C17" s="31" t="n">
        <v>41272</v>
      </c>
      <c r="D17" s="31" t="n">
        <v>61600</v>
      </c>
      <c r="E17" s="31" t="n">
        <v>13000</v>
      </c>
      <c r="F17" s="31" t="n">
        <v>37324</v>
      </c>
      <c r="G17" s="32" t="n">
        <v>38700</v>
      </c>
      <c r="H17" s="20" t="n"/>
    </row>
    <row r="18">
      <c r="A18" s="30" t="inlineStr">
        <is>
          <t>Net margin</t>
        </is>
      </c>
      <c r="B18" s="33" t="n">
        <v>0.08209302325581395</v>
      </c>
      <c r="C18" s="33" t="n">
        <v>0.09409940720474236</v>
      </c>
      <c r="D18" s="33" t="n">
        <v>0.1181434599156118</v>
      </c>
      <c r="E18" s="33" t="n">
        <v>0.03340184994861254</v>
      </c>
      <c r="F18" s="33" t="n">
        <v>0.08082286704200953</v>
      </c>
      <c r="G18" s="34" t="n">
        <v>0.07649733148843645</v>
      </c>
      <c r="H18" s="35" t="n">
        <v>0.12</v>
      </c>
    </row>
  </sheetData>
  <mergeCells count="1">
    <mergeCell ref="A1:H1"/>
  </mergeCells>
  <conditionalFormatting sqref="B8:G8">
    <cfRule type="cellIs" priority="1" operator="greaterThan" dxfId="0" stopIfTrue="0">
      <formula>0.31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4" customWidth="1" min="4" max="4"/>
    <col width="16" customWidth="1" min="5" max="5"/>
  </cols>
  <sheetData>
    <row r="1" ht="24" customHeight="1">
      <c r="A1" s="14" t="inlineStr">
        <is>
          <t>Top Expense Analysis  ·  March 2026  ·  Restaurang Björken AB</t>
        </is>
      </c>
    </row>
    <row r="2" ht="18" customHeight="1">
      <c r="A2" s="15" t="inlineStr">
        <is>
          <t>Supplier / Category</t>
        </is>
      </c>
      <c r="B2" s="36" t="inlineStr">
        <is>
          <t>Category</t>
        </is>
      </c>
      <c r="C2" s="36" t="inlineStr">
        <is>
          <t>Amount (kr)</t>
        </is>
      </c>
      <c r="D2" s="36" t="inlineStr">
        <is>
          <t>% of Revenue</t>
        </is>
      </c>
      <c r="E2" s="36" t="inlineStr">
        <is>
          <t>Budget Status</t>
        </is>
      </c>
    </row>
    <row r="3">
      <c r="A3" s="37" t="inlineStr">
        <is>
          <t>Personalkostnader</t>
        </is>
      </c>
      <c r="B3" s="38" t="inlineStr">
        <is>
          <t>Staff</t>
        </is>
      </c>
      <c r="C3" s="39" t="n">
        <v>224978</v>
      </c>
      <c r="D3" s="40" t="n">
        <v>0.4447084404032418</v>
      </c>
      <c r="E3" s="41" t="inlineStr">
        <is>
          <t>Over target</t>
        </is>
      </c>
    </row>
    <row r="4">
      <c r="A4" s="42" t="inlineStr">
        <is>
          <t>Lokalhyra</t>
        </is>
      </c>
      <c r="B4" s="43" t="inlineStr">
        <is>
          <t>Rent</t>
        </is>
      </c>
      <c r="C4" s="44" t="n">
        <v>64500</v>
      </c>
      <c r="D4" s="45" t="n">
        <v>0.1274955524807274</v>
      </c>
      <c r="E4" s="46" t="inlineStr">
        <is>
          <t>Within budget</t>
        </is>
      </c>
    </row>
    <row r="5">
      <c r="A5" s="37" t="inlineStr">
        <is>
          <t>Sysco Sverige</t>
        </is>
      </c>
      <c r="B5" s="38" t="inlineStr">
        <is>
          <t>Food &amp; Bev</t>
        </is>
      </c>
      <c r="C5" s="39" t="n">
        <v>43624</v>
      </c>
      <c r="D5" s="40" t="n">
        <v>0.08623048033208144</v>
      </c>
      <c r="E5" s="47" t="inlineStr">
        <is>
          <t>Within budget</t>
        </is>
      </c>
    </row>
    <row r="6">
      <c r="A6" s="42" t="inlineStr">
        <is>
          <t>Menigo Foodservice</t>
        </is>
      </c>
      <c r="B6" s="43" t="inlineStr">
        <is>
          <t>Food &amp; Bev</t>
        </is>
      </c>
      <c r="C6" s="48" t="n">
        <v>35064</v>
      </c>
      <c r="D6" s="45" t="n">
        <v>0.06931014034394149</v>
      </c>
      <c r="E6" s="46" t="inlineStr">
        <is>
          <t>Within budget</t>
        </is>
      </c>
    </row>
    <row r="7">
      <c r="A7" s="37" t="inlineStr">
        <is>
          <t>Städ &amp; Renhållning</t>
        </is>
      </c>
      <c r="B7" s="38" t="inlineStr">
        <is>
          <t>Operations</t>
        </is>
      </c>
      <c r="C7" s="39" t="n">
        <v>18200</v>
      </c>
      <c r="D7" s="40" t="n">
        <v>0.03597548922711998</v>
      </c>
      <c r="E7" s="47" t="inlineStr">
        <is>
          <t>Within budget</t>
        </is>
      </c>
    </row>
    <row r="8">
      <c r="A8" s="42" t="inlineStr">
        <is>
          <t>Caspeco AB</t>
        </is>
      </c>
      <c r="B8" s="43" t="inlineStr">
        <is>
          <t>Software</t>
        </is>
      </c>
      <c r="C8" s="44" t="n">
        <v>2490</v>
      </c>
      <c r="D8" s="45" t="n">
        <v>0.004921921328325756</v>
      </c>
      <c r="E8" s="46" t="inlineStr">
        <is>
          <t>Within budget</t>
        </is>
      </c>
    </row>
    <row r="9">
      <c r="A9" s="37" t="inlineStr">
        <is>
          <t>Driftkostnader</t>
        </is>
      </c>
      <c r="B9" s="38" t="inlineStr">
        <is>
          <t>Operations</t>
        </is>
      </c>
      <c r="C9" s="39" t="n">
        <v>6148</v>
      </c>
      <c r="D9" s="40" t="n">
        <v>0.01215259932793042</v>
      </c>
      <c r="E9" s="47" t="inlineStr">
        <is>
          <t>Within budget</t>
        </is>
      </c>
    </row>
    <row r="10">
      <c r="A10" s="42" t="inlineStr">
        <is>
          <t>Marknadsföring</t>
        </is>
      </c>
      <c r="B10" s="43" t="inlineStr">
        <is>
          <t>Marketing</t>
        </is>
      </c>
      <c r="C10" s="44" t="n">
        <v>5000</v>
      </c>
      <c r="D10" s="45" t="n">
        <v>0.009883376161296699</v>
      </c>
      <c r="E10" s="46" t="inlineStr">
        <is>
          <t>Within budget</t>
        </is>
      </c>
    </row>
    <row r="11">
      <c r="A11" s="37" t="inlineStr">
        <is>
          <t>Kontokortsavgifter</t>
        </is>
      </c>
      <c r="B11" s="38" t="inlineStr">
        <is>
          <t>Finance</t>
        </is>
      </c>
      <c r="C11" s="39" t="n">
        <v>3968</v>
      </c>
      <c r="D11" s="40" t="n">
        <v>0.00784344732160506</v>
      </c>
      <c r="E11" s="47" t="inlineStr">
        <is>
          <t>Within budget</t>
        </is>
      </c>
    </row>
    <row r="12">
      <c r="A12" s="42" t="inlineStr">
        <is>
          <t>Försäkringar</t>
        </is>
      </c>
      <c r="B12" s="43" t="inlineStr">
        <is>
          <t>Operations</t>
        </is>
      </c>
      <c r="C12" s="44" t="n">
        <v>3022</v>
      </c>
      <c r="D12" s="45" t="n">
        <v>0.005973512551887725</v>
      </c>
      <c r="E12" s="46" t="inlineStr">
        <is>
          <t>Within budget</t>
        </is>
      </c>
    </row>
    <row r="13">
      <c r="A13" s="49" t="inlineStr">
        <is>
          <t>TOTAL SHOWN</t>
        </is>
      </c>
      <c r="B13" s="42" t="inlineStr"/>
      <c r="C13" s="48" t="n">
        <v>406994</v>
      </c>
      <c r="D13" s="50" t="n">
        <v>0.8044949594781577</v>
      </c>
      <c r="E13" s="42" t="inlineStr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0" customWidth="1" min="9" max="9"/>
  </cols>
  <sheetData>
    <row r="1" ht="24" customHeight="1">
      <c r="A1" s="14" t="inlineStr">
        <is>
          <t>Monthly Trend  ·  Oct 2025 – Mar 2026  ·  Restaurang Björken AB</t>
        </is>
      </c>
    </row>
    <row r="2" ht="18" customHeight="1">
      <c r="A2" s="15" t="inlineStr">
        <is>
          <t>Month</t>
        </is>
      </c>
      <c r="B2" s="16" t="inlineStr">
        <is>
          <t>Revenue</t>
        </is>
      </c>
      <c r="C2" s="16" t="inlineStr">
        <is>
          <t>Staff</t>
        </is>
      </c>
      <c r="D2" s="16" t="inlineStr">
        <is>
          <t>Food</t>
        </is>
      </c>
      <c r="E2" s="16" t="inlineStr">
        <is>
          <t>Rent</t>
        </is>
      </c>
      <c r="F2" s="16" t="inlineStr">
        <is>
          <t>Other</t>
        </is>
      </c>
      <c r="G2" s="16" t="inlineStr">
        <is>
          <t>Total Cost</t>
        </is>
      </c>
      <c r="H2" s="16" t="inlineStr">
        <is>
          <t>Net Profit</t>
        </is>
      </c>
      <c r="I2" s="16" t="inlineStr">
        <is>
          <t>Margin %</t>
        </is>
      </c>
    </row>
    <row r="3">
      <c r="A3" s="37" t="inlineStr">
        <is>
          <t>Oct 2025</t>
        </is>
      </c>
      <c r="B3" s="51" t="n">
        <v>412800</v>
      </c>
      <c r="C3" s="39" t="n">
        <v>180432</v>
      </c>
      <c r="D3" s="39" t="n">
        <v>123840</v>
      </c>
      <c r="E3" s="39" t="n">
        <v>54000</v>
      </c>
      <c r="F3" s="39" t="n">
        <v>20640</v>
      </c>
      <c r="G3" s="39" t="n">
        <v>378912</v>
      </c>
      <c r="H3" s="52" t="n">
        <v>33888</v>
      </c>
      <c r="I3" s="53" t="n">
        <v>0.08209302325581395</v>
      </c>
    </row>
    <row r="4">
      <c r="A4" s="42" t="inlineStr">
        <is>
          <t>Nov 2025</t>
        </is>
      </c>
      <c r="B4" s="48" t="n">
        <v>438600</v>
      </c>
      <c r="C4" s="44" t="n">
        <v>191268</v>
      </c>
      <c r="D4" s="44" t="n">
        <v>126630</v>
      </c>
      <c r="E4" s="44" t="n">
        <v>57500</v>
      </c>
      <c r="F4" s="44" t="n">
        <v>21930</v>
      </c>
      <c r="G4" s="44" t="n">
        <v>397328</v>
      </c>
      <c r="H4" s="32" t="n">
        <v>41272</v>
      </c>
      <c r="I4" s="54" t="n">
        <v>0.09409940720474236</v>
      </c>
    </row>
    <row r="5">
      <c r="A5" s="37" t="inlineStr">
        <is>
          <t>Dec 2025</t>
        </is>
      </c>
      <c r="B5" s="51" t="n">
        <v>521400</v>
      </c>
      <c r="C5" s="39" t="n">
        <v>222480</v>
      </c>
      <c r="D5" s="39" t="n">
        <v>153750</v>
      </c>
      <c r="E5" s="39" t="n">
        <v>57500</v>
      </c>
      <c r="F5" s="39" t="n">
        <v>26070</v>
      </c>
      <c r="G5" s="39" t="n">
        <v>459800</v>
      </c>
      <c r="H5" s="52" t="n">
        <v>61600</v>
      </c>
      <c r="I5" s="53" t="n">
        <v>0.1181434599156118</v>
      </c>
    </row>
    <row r="6">
      <c r="A6" s="42" t="inlineStr">
        <is>
          <t>Jan 2026</t>
        </is>
      </c>
      <c r="B6" s="48" t="n">
        <v>389200</v>
      </c>
      <c r="C6" s="44" t="n">
        <v>175140</v>
      </c>
      <c r="D6" s="44" t="n">
        <v>120600</v>
      </c>
      <c r="E6" s="44" t="n">
        <v>61000</v>
      </c>
      <c r="F6" s="44" t="n">
        <v>19460</v>
      </c>
      <c r="G6" s="44" t="n">
        <v>376200</v>
      </c>
      <c r="H6" s="32" t="n">
        <v>13000</v>
      </c>
      <c r="I6" s="54" t="n">
        <v>0.03340184994861254</v>
      </c>
    </row>
    <row r="7">
      <c r="A7" s="37" t="inlineStr">
        <is>
          <t>Feb 2026</t>
        </is>
      </c>
      <c r="B7" s="51" t="n">
        <v>461800</v>
      </c>
      <c r="C7" s="39" t="n">
        <v>199536</v>
      </c>
      <c r="D7" s="39" t="n">
        <v>140850</v>
      </c>
      <c r="E7" s="39" t="n">
        <v>61000</v>
      </c>
      <c r="F7" s="39" t="n">
        <v>23090</v>
      </c>
      <c r="G7" s="39" t="n">
        <v>424476</v>
      </c>
      <c r="H7" s="52" t="n">
        <v>37324</v>
      </c>
      <c r="I7" s="53" t="n">
        <v>0.08082286704200953</v>
      </c>
    </row>
    <row r="8">
      <c r="A8" s="42" t="inlineStr">
        <is>
          <t>Mar 2026</t>
        </is>
      </c>
      <c r="B8" s="48" t="n">
        <v>505900</v>
      </c>
      <c r="C8" s="44" t="n">
        <v>224978</v>
      </c>
      <c r="D8" s="44" t="n">
        <v>149300</v>
      </c>
      <c r="E8" s="44" t="n">
        <v>64500</v>
      </c>
      <c r="F8" s="44" t="n">
        <v>28422</v>
      </c>
      <c r="G8" s="44" t="n">
        <v>467200</v>
      </c>
      <c r="H8" s="32" t="n">
        <v>38700</v>
      </c>
      <c r="I8" s="54" t="n">
        <v>0.07649733148843645</v>
      </c>
    </row>
    <row r="9">
      <c r="A9" s="55" t="inlineStr">
        <is>
          <t>AVERAGE</t>
        </is>
      </c>
      <c r="B9" s="56">
        <f>AVERAGE(B3:B8)</f>
        <v/>
      </c>
      <c r="C9" s="56">
        <f>AVERAGE(C3:C8)</f>
        <v/>
      </c>
      <c r="D9" s="56">
        <f>AVERAGE(D3:D8)</f>
        <v/>
      </c>
      <c r="E9" s="56">
        <f>AVERAGE(E3:E8)</f>
        <v/>
      </c>
      <c r="F9" s="56">
        <f>AVERAGE(F3:F8)</f>
        <v/>
      </c>
      <c r="G9" s="56">
        <f>AVERAGE(G3:G8)</f>
        <v/>
      </c>
      <c r="H9" s="56">
        <f>AVERAGE(H3:H8)</f>
        <v/>
      </c>
      <c r="I9" s="57">
        <f>AVERAGE(I3:I8)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2" customHeight="1">
      <c r="A1" s="58" t="inlineStr">
        <is>
          <t>Raw Data Export  ·  Restaurang Björken AB  ·  2026-03-24</t>
        </is>
      </c>
    </row>
    <row r="2">
      <c r="A2" s="59" t="inlineStr">
        <is>
          <t>Period</t>
        </is>
      </c>
      <c r="B2" s="60" t="inlineStr">
        <is>
          <t>Revenue (kr)</t>
        </is>
      </c>
      <c r="C2" s="60" t="inlineStr">
        <is>
          <t>Staff Cost (kr)</t>
        </is>
      </c>
      <c r="D2" s="60" t="inlineStr">
        <is>
          <t>Food Cost (kr)</t>
        </is>
      </c>
      <c r="E2" s="60" t="inlineStr">
        <is>
          <t>Rent (kr)</t>
        </is>
      </c>
      <c r="F2" s="60" t="inlineStr">
        <is>
          <t>Other (kr)</t>
        </is>
      </c>
      <c r="G2" s="60" t="inlineStr">
        <is>
          <t>Total Cost (kr)</t>
        </is>
      </c>
      <c r="H2" s="60" t="inlineStr">
        <is>
          <t>Net Profit (kr)</t>
        </is>
      </c>
      <c r="I2" s="60" t="inlineStr">
        <is>
          <t>Staff %</t>
        </is>
      </c>
      <c r="J2" s="60" t="inlineStr">
        <is>
          <t>Food %</t>
        </is>
      </c>
      <c r="K2" s="60" t="inlineStr">
        <is>
          <t>Rent %</t>
        </is>
      </c>
      <c r="L2" s="60" t="inlineStr">
        <is>
          <t>Margin %</t>
        </is>
      </c>
    </row>
    <row r="3">
      <c r="A3" s="61" t="inlineStr">
        <is>
          <t>Oct 2025</t>
        </is>
      </c>
      <c r="B3" s="62" t="n">
        <v>412800</v>
      </c>
      <c r="C3" s="62" t="n">
        <v>180432</v>
      </c>
      <c r="D3" s="62" t="n">
        <v>123840</v>
      </c>
      <c r="E3" s="62" t="n">
        <v>54000</v>
      </c>
      <c r="F3" s="62" t="n">
        <v>20640</v>
      </c>
      <c r="G3" s="62" t="n">
        <v>378912</v>
      </c>
      <c r="H3" s="62" t="n">
        <v>33888</v>
      </c>
      <c r="I3" s="63" t="n">
        <v>0.437093023255814</v>
      </c>
      <c r="J3" s="63" t="n">
        <v>0.3</v>
      </c>
      <c r="K3" s="63" t="n">
        <v>0.1308139534883721</v>
      </c>
      <c r="L3" s="63" t="n">
        <v>0.08209302325581395</v>
      </c>
    </row>
    <row r="4">
      <c r="A4" s="64" t="inlineStr">
        <is>
          <t>Nov 2025</t>
        </is>
      </c>
      <c r="B4" s="65" t="n">
        <v>438600</v>
      </c>
      <c r="C4" s="65" t="n">
        <v>191268</v>
      </c>
      <c r="D4" s="65" t="n">
        <v>126630</v>
      </c>
      <c r="E4" s="65" t="n">
        <v>57500</v>
      </c>
      <c r="F4" s="65" t="n">
        <v>21930</v>
      </c>
      <c r="G4" s="65" t="n">
        <v>397328</v>
      </c>
      <c r="H4" s="65" t="n">
        <v>41272</v>
      </c>
      <c r="I4" s="66" t="n">
        <v>0.4360875512995896</v>
      </c>
      <c r="J4" s="66" t="n">
        <v>0.2887140902872777</v>
      </c>
      <c r="K4" s="66" t="n">
        <v>0.1310989512083903</v>
      </c>
      <c r="L4" s="66" t="n">
        <v>0.09409940720474236</v>
      </c>
    </row>
    <row r="5">
      <c r="A5" s="61" t="inlineStr">
        <is>
          <t>Dec 2025</t>
        </is>
      </c>
      <c r="B5" s="62" t="n">
        <v>521400</v>
      </c>
      <c r="C5" s="62" t="n">
        <v>222480</v>
      </c>
      <c r="D5" s="62" t="n">
        <v>153750</v>
      </c>
      <c r="E5" s="62" t="n">
        <v>57500</v>
      </c>
      <c r="F5" s="62" t="n">
        <v>26070</v>
      </c>
      <c r="G5" s="62" t="n">
        <v>459800</v>
      </c>
      <c r="H5" s="62" t="n">
        <v>61600</v>
      </c>
      <c r="I5" s="63" t="n">
        <v>0.4266973532796318</v>
      </c>
      <c r="J5" s="63" t="n">
        <v>0.2948791714614499</v>
      </c>
      <c r="K5" s="63" t="n">
        <v>0.1102800153433065</v>
      </c>
      <c r="L5" s="63" t="n">
        <v>0.1181434599156118</v>
      </c>
    </row>
    <row r="6">
      <c r="A6" s="64" t="inlineStr">
        <is>
          <t>Jan 2026</t>
        </is>
      </c>
      <c r="B6" s="65" t="n">
        <v>389200</v>
      </c>
      <c r="C6" s="65" t="n">
        <v>175140</v>
      </c>
      <c r="D6" s="65" t="n">
        <v>120600</v>
      </c>
      <c r="E6" s="65" t="n">
        <v>61000</v>
      </c>
      <c r="F6" s="65" t="n">
        <v>19460</v>
      </c>
      <c r="G6" s="65" t="n">
        <v>376200</v>
      </c>
      <c r="H6" s="65" t="n">
        <v>13000</v>
      </c>
      <c r="I6" s="66" t="n">
        <v>0.45</v>
      </c>
      <c r="J6" s="66" t="n">
        <v>0.3098663926002055</v>
      </c>
      <c r="K6" s="66" t="n">
        <v>0.1567317574511819</v>
      </c>
      <c r="L6" s="66" t="n">
        <v>0.03340184994861254</v>
      </c>
    </row>
    <row r="7">
      <c r="A7" s="61" t="inlineStr">
        <is>
          <t>Feb 2026</t>
        </is>
      </c>
      <c r="B7" s="62" t="n">
        <v>461800</v>
      </c>
      <c r="C7" s="62" t="n">
        <v>199536</v>
      </c>
      <c r="D7" s="62" t="n">
        <v>140850</v>
      </c>
      <c r="E7" s="62" t="n">
        <v>61000</v>
      </c>
      <c r="F7" s="62" t="n">
        <v>23090</v>
      </c>
      <c r="G7" s="62" t="n">
        <v>424476</v>
      </c>
      <c r="H7" s="62" t="n">
        <v>37324</v>
      </c>
      <c r="I7" s="63" t="n">
        <v>0.4320831528800346</v>
      </c>
      <c r="J7" s="63" t="n">
        <v>0.3050021654395842</v>
      </c>
      <c r="K7" s="63" t="n">
        <v>0.1320918146383716</v>
      </c>
      <c r="L7" s="63" t="n">
        <v>0.08082286704200953</v>
      </c>
    </row>
    <row r="8">
      <c r="A8" s="64" t="inlineStr">
        <is>
          <t>Mar 2026</t>
        </is>
      </c>
      <c r="B8" s="65" t="n">
        <v>505900</v>
      </c>
      <c r="C8" s="65" t="n">
        <v>224978</v>
      </c>
      <c r="D8" s="65" t="n">
        <v>149300</v>
      </c>
      <c r="E8" s="65" t="n">
        <v>64500</v>
      </c>
      <c r="F8" s="65" t="n">
        <v>28422</v>
      </c>
      <c r="G8" s="65" t="n">
        <v>467200</v>
      </c>
      <c r="H8" s="65" t="n">
        <v>38700</v>
      </c>
      <c r="I8" s="66" t="n">
        <v>0.4447084404032418</v>
      </c>
      <c r="J8" s="66" t="n">
        <v>0.2951176121763194</v>
      </c>
      <c r="K8" s="66" t="n">
        <v>0.1274955524807274</v>
      </c>
      <c r="L8" s="66" t="n">
        <v>0.07649733148843645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Command Center</dc:creator>
  <dc:title xmlns:dc="http://purl.org/dc/elements/1.1/">Restaurang Björken AB — Financial Data</dc:title>
  <dc:subject xmlns:dc="http://purl.org/dc/elements/1.1/">Monthly Financial Export</dc:subject>
  <dcterms:created xmlns:dcterms="http://purl.org/dc/terms/" xmlns:xsi="http://www.w3.org/2001/XMLSchema-instance" xsi:type="dcterms:W3CDTF">2026-03-24T16:27:22Z</dcterms:created>
  <dcterms:modified xmlns:dcterms="http://purl.org/dc/terms/" xmlns:xsi="http://www.w3.org/2001/XMLSchema-instance" xsi:type="dcterms:W3CDTF">2026-03-24T16:27:22Z</dcterms:modified>
</cp:coreProperties>
</file>